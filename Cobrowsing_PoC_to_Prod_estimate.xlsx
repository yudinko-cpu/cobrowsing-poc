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тоги" sheetId="1" state="visible" r:id="rId3"/>
    <sheet name="Оценка (WBS)" sheetId="2" state="visible" r:id="rId4"/>
    <sheet name="Инфра" sheetId="3" state="visible" r:id="rId5"/>
    <sheet name="Гант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<sst xmlns="http://schemas.openxmlformats.org/spreadsheetml/2006/main" count="277" uniqueCount="186">
  <si>
    <t xml:space="preserve">Cobrowsing → Full Production (greenfield rewrite) — оценка трудозатрат</t>
  </si>
  <si>
    <t xml:space="preserve">Переработка от 08.07.2026 · PoC не переиспользуется · чел-дни · EUR</t>
  </si>
  <si>
    <t xml:space="preserve">Ключевые допущения (обновлено)</t>
  </si>
  <si>
    <t xml:space="preserve">Базис</t>
  </si>
  <si>
    <t xml:space="preserve">PoC в помойку: iOS SDK, token-server, оператор-UI — пишем с нуля</t>
  </si>
  <si>
    <t xml:space="preserve">iOS / Android</t>
  </si>
  <si>
    <t xml:space="preserve">оба SDK с нуля, production-grade (capture, publish, state machine, packaging, тесты)</t>
  </si>
  <si>
    <t xml:space="preserve">Token-server</t>
  </si>
  <si>
    <t xml:space="preserve">с нуля: session API, коды, JWT, anti-hijack, rate-limit, logging</t>
  </si>
  <si>
    <t xml:space="preserve">Оператор</t>
  </si>
  <si>
    <t xml:space="preserve">встраиваем в существующий React-проект; auth/SSO переиспользуем из host-app</t>
  </si>
  <si>
    <t xml:space="preserve">Web-клиент</t>
  </si>
  <si>
    <t xml:space="preserve">клиентский screen-share (getDisplayMedia) — в скоупе</t>
  </si>
  <si>
    <t xml:space="preserve">Инфра</t>
  </si>
  <si>
    <t xml:space="preserve">greenfield (LiveKit/Caddy/Redis/compose/CI — с нуля)</t>
  </si>
  <si>
    <t xml:space="preserve">Масштаб / SLA</t>
  </si>
  <si>
    <t xml:space="preserve">до 50 сессий; один регион, best-effort ~99%; GDPR-гигиена</t>
  </si>
  <si>
    <t xml:space="preserve">Вне скоупа</t>
  </si>
  <si>
    <t xml:space="preserve">PII-redaction, настоящий remote control, DOM-mirroring, HA, пентест/сертификация</t>
  </si>
  <si>
    <t xml:space="preserve">Архитектура</t>
  </si>
  <si>
    <t xml:space="preserve">решения и уроки PoC сохраняем — переписываем реализацию, не дизайн</t>
  </si>
  <si>
    <t xml:space="preserve">Параметры модели (входные)</t>
  </si>
  <si>
    <t xml:space="preserve">PM / координация, %</t>
  </si>
  <si>
    <t xml:space="preserve">Контингенси, %</t>
  </si>
  <si>
    <t xml:space="preserve">Диапазон: низ, ×</t>
  </si>
  <si>
    <t xml:space="preserve">Диапазон: верх, ×</t>
  </si>
  <si>
    <t xml:space="preserve">Итог по программе (чел-дни)</t>
  </si>
  <si>
    <t xml:space="preserve">Ядро (core)</t>
  </si>
  <si>
    <t xml:space="preserve">+ PM / координация</t>
  </si>
  <si>
    <t xml:space="preserve">+ Контингенси</t>
  </si>
  <si>
    <t xml:space="preserve">Итого (likely)</t>
  </si>
  <si>
    <t xml:space="preserve">Итого — нижняя оценка</t>
  </si>
  <si>
    <t xml:space="preserve">Итого — верхняя оценка</t>
  </si>
  <si>
    <t xml:space="preserve">Раскладка по фазам</t>
  </si>
  <si>
    <t xml:space="preserve">Фаза</t>
  </si>
  <si>
    <t xml:space="preserve">Чел-дни</t>
  </si>
  <si>
    <t xml:space="preserve">Доля</t>
  </si>
  <si>
    <t xml:space="preserve">Фаза 0 — Фундамент (инфра + token-server с нуля)</t>
  </si>
  <si>
    <t xml:space="preserve">Фаза 1 — iOS-клиент (с нуля)</t>
  </si>
  <si>
    <t xml:space="preserve">Фаза 2 — Android-клиент (с нуля)</t>
  </si>
  <si>
    <t xml:space="preserve">Фаза 3 — Оператор в существующем React</t>
  </si>
  <si>
    <t xml:space="preserve">Фаза 4 — Web-клиент (screen-share)</t>
  </si>
  <si>
    <t xml:space="preserve">Фаза 5 — Кросс-платформенный launch</t>
  </si>
  <si>
    <t xml:space="preserve">Итого (core)</t>
  </si>
  <si>
    <t xml:space="preserve">Роли: трудозатраты и стоимость</t>
  </si>
  <si>
    <t xml:space="preserve">Роль</t>
  </si>
  <si>
    <t xml:space="preserve">Ставка, €/день (образец)</t>
  </si>
  <si>
    <t xml:space="preserve">Стоимость, €</t>
  </si>
  <si>
    <t xml:space="preserve">iOS</t>
  </si>
  <si>
    <t xml:space="preserve">Android</t>
  </si>
  <si>
    <t xml:space="preserve">Backend</t>
  </si>
  <si>
    <t xml:space="preserve">Frontend / Web</t>
  </si>
  <si>
    <t xml:space="preserve">DevOps / SRE</t>
  </si>
  <si>
    <t xml:space="preserve">QA</t>
  </si>
  <si>
    <t xml:space="preserve">Ядро (сумма ролей)</t>
  </si>
  <si>
    <t xml:space="preserve">+ PM + контингенси</t>
  </si>
  <si>
    <t xml:space="preserve">Итого программа</t>
  </si>
  <si>
    <t xml:space="preserve">Ставки — образец; замените на свои. Стоимость иллюстративна.</t>
  </si>
  <si>
    <t xml:space="preserve">Календарь и инфраструктура</t>
  </si>
  <si>
    <t xml:space="preserve">Критический путь</t>
  </si>
  <si>
    <t xml:space="preserve">≈ 13–15 недель (~3.5–4 мес), команда 4–5 человек</t>
  </si>
  <si>
    <t xml:space="preserve">Логика</t>
  </si>
  <si>
    <t xml:space="preserve">Фаза 0 (инфра+token-server) гейтит; iOS/Android/оператор/web — параллельно</t>
  </si>
  <si>
    <t xml:space="preserve">Инфра (recurring)</t>
  </si>
  <si>
    <t xml:space="preserve">~€35–70/мес self-hosted (Hetzner) — см. лист «Инфра»</t>
  </si>
  <si>
    <t xml:space="preserve">Диаграмма Ганта</t>
  </si>
  <si>
    <t xml:space="preserve">см. лист «Гант»</t>
  </si>
  <si>
    <t xml:space="preserve">Детальная оценка (WBS, greenfield) — чел-дни по ролям</t>
  </si>
  <si>
    <t xml:space="preserve">Воркстрим / задача</t>
  </si>
  <si>
    <t xml:space="preserve">Ключевые роли</t>
  </si>
  <si>
    <t xml:space="preserve">Frontend/Web</t>
  </si>
  <si>
    <t xml:space="preserve">DevOps</t>
  </si>
  <si>
    <t xml:space="preserve">Итого</t>
  </si>
  <si>
    <t xml:space="preserve">Базовая инфра с нуля (LiveKit+Caddy+Redis+compose, host-mode сеть, TURN, firewall, TLS)</t>
  </si>
  <si>
    <t xml:space="preserve">CI/CD с нуля (GHA build/push/deploy, GHCR, rollback)</t>
  </si>
  <si>
    <t xml:space="preserve">Hardening (secrets-manager, fail2ban, unattended-upgrades, log-rotation, supply-chain/scan)</t>
  </si>
  <si>
    <t xml:space="preserve">Мониторинг и алертинг (Prometheus+Grafana, Alertmanager, Uptime, Sentry)</t>
  </si>
  <si>
    <t xml:space="preserve">Backups (Redis RDB + offsite, restore-drill)</t>
  </si>
  <si>
    <t xml:space="preserve">Token-server с нуля: scaffolding + session API + fail-fast config</t>
  </si>
  <si>
    <t xml:space="preserve">Token-server: коды (CSPRNG) + Redis-mapping/TTL + create/end + LiveKit RoomService</t>
  </si>
  <si>
    <t xml:space="preserve">Token-server: agent/join + anti-hijack + идемпотентность + rate-limit + CORS + logging + health</t>
  </si>
  <si>
    <t xml:space="preserve">JWT (publisher/subscriber scoped, TTL, revocation)</t>
  </si>
  <si>
    <t xml:space="preserve">Auth-интеграция (переиспользуем host SSO): verify, agentId, RBAC, audit</t>
  </si>
  <si>
    <t xml:space="preserve">Запись: Egress lifecycle-hooks + retention/GDPR-delete (BE) + Egress infra + S3/at-rest (DevOps)</t>
  </si>
  <si>
    <t xml:space="preserve">Backend, DevOps</t>
  </si>
  <si>
    <t xml:space="preserve">Reliability (graceful deploy, DoS-basic, healthchecks, runbook)</t>
  </si>
  <si>
    <t xml:space="preserve">DevOps, Backend</t>
  </si>
  <si>
    <t xml:space="preserve">Security &amp; GDPR база (retention impl, ROPA, threat-model, vuln-scan)</t>
  </si>
  <si>
    <t xml:space="preserve">Backend, QA</t>
  </si>
  <si>
    <t xml:space="preserve">Backend автотесты (unit + integration)</t>
  </si>
  <si>
    <t xml:space="preserve">Shared: platform-поле в метаданных, source-labels/aspect у viewer</t>
  </si>
  <si>
    <t xml:space="preserve">Backend, Frontend</t>
  </si>
  <si>
    <t xml:space="preserve">iOS SDK: scaffolding + packaging (XCFramework/SPM) + public API</t>
  </si>
  <si>
    <t xml:space="preserve">ReplayKit in-app capture pipeline (CMSampleBuffer, fps, resolution)</t>
  </si>
  <si>
    <t xml:space="preserve">LiveKit connect + publish video/audio</t>
  </si>
  <si>
    <t xml:space="preserve">Транспорт-абстракция (vendor isolation)</t>
  </si>
  <si>
    <t xml:space="preserve">State machine (restartable, reconnect-aware) + consent + REC</t>
  </si>
  <si>
    <t xml:space="preserve">Reconnect / lifecycle / backgrounding / termination edge cases</t>
  </si>
  <si>
    <t xml:space="preserve">Аннотации + guided pointer overlay (data channel) + rec-notice</t>
  </si>
  <si>
    <t xml:space="preserve">Unit-тесты + example host-app + integration doc</t>
  </si>
  <si>
    <t xml:space="preserve">QA: device-matrix + e2e + distribution (TestFlight)</t>
  </si>
  <si>
    <t xml:space="preserve">iOS, QA</t>
  </si>
  <si>
    <t xml:space="preserve">Android SDK: MediaProjection + foreground service, publish, state machine, consent, example, AAR/Play</t>
  </si>
  <si>
    <t xml:space="preserve">Android, QA</t>
  </si>
  <si>
    <t xml:space="preserve">Android feature-parity: аннотации-overlay + guided pointer, rec-notice</t>
  </si>
  <si>
    <t xml:space="preserve">Интеграция в host-app: LiveKit JS setup, модуль, роутинг, сборка</t>
  </si>
  <si>
    <t xml:space="preserve">Frontend</t>
  </si>
  <si>
    <t xml:space="preserve">Session entry (код/список ожидающих) + viewer (video, HUD, aspect)</t>
  </si>
  <si>
    <t xml:space="preserve">Операторские аннотации + guided pointer (drawing UI + data channel)</t>
  </si>
  <si>
    <t xml:space="preserve">Recording playback / list UI</t>
  </si>
  <si>
    <t xml:space="preserve">Auth-интеграция (host identity)</t>
  </si>
  <si>
    <t xml:space="preserve">Интеграционное тестирование в host-app (не сломать существующее)</t>
  </si>
  <si>
    <t xml:space="preserve">Frontend, QA</t>
  </si>
  <si>
    <t xml:space="preserve">Web-клиент: getDisplayMedia publish, consent/secure-context, lifecycle, embeddable SDK, code-UX, аннотации</t>
  </si>
  <si>
    <t xml:space="preserve">Cross-browser QA (Chrome/Edge/Firefox/Safari)</t>
  </si>
  <si>
    <t xml:space="preserve">Load-test до 50 сессий (mixed platforms)</t>
  </si>
  <si>
    <t xml:space="preserve">DevOps, QA</t>
  </si>
  <si>
    <t xml:space="preserve">GDPR sign-off + runbook + bug-buffer</t>
  </si>
  <si>
    <t xml:space="preserve">ИТОГО (core)</t>
  </si>
  <si>
    <t xml:space="preserve">Известный долг (вне текущей оценки)</t>
  </si>
  <si>
    <t xml:space="preserve">PII-redaction</t>
  </si>
  <si>
    <t xml:space="preserve">+10–20 чел-дней; вероятно обязателен при финсектор/healthcare-клиенте</t>
  </si>
  <si>
    <t xml:space="preserve">Настоящий remote control</t>
  </si>
  <si>
    <t xml:space="preserve">+8–16 чел-дней, R&amp;D; input-injection в песочнице недоступен 3rd-party</t>
  </si>
  <si>
    <t xml:space="preserve">DOM-mirroring для Web</t>
  </si>
  <si>
    <t xml:space="preserve">+30–40 чел-дней; другая архитектура</t>
  </si>
  <si>
    <t xml:space="preserve">HA / мульти-регион, пентест, сертификация</t>
  </si>
  <si>
    <t xml:space="preserve">отдельные бюджеты/треки</t>
  </si>
  <si>
    <t xml:space="preserve">Инфраструктура — стоимость (self-hosted, Hetzner)</t>
  </si>
  <si>
    <t xml:space="preserve">Recurring (в месяц)</t>
  </si>
  <si>
    <t xml:space="preserve">Позиция</t>
  </si>
  <si>
    <t xml:space="preserve">€/мес (низ)</t>
  </si>
  <si>
    <t xml:space="preserve">€/мес (верх)</t>
  </si>
  <si>
    <t xml:space="preserve">Комментарий</t>
  </si>
  <si>
    <t xml:space="preserve">Compute: CCX23 (4 dedicated vCPU / 16 GB)</t>
  </si>
  <si>
    <t xml:space="preserve">dedicated vCPU безопаснее для WebRTC-медиа</t>
  </si>
  <si>
    <t xml:space="preserve">Object storage (записи + бэкапы)</t>
  </si>
  <si>
    <t xml:space="preserve">Hetzner Object Storage; растёт с retention</t>
  </si>
  <si>
    <t xml:space="preserve">Aux-нода (мониторинг / egress) или co-locate</t>
  </si>
  <si>
    <t xml:space="preserve">co-locate = €0</t>
  </si>
  <si>
    <t xml:space="preserve">TURN (coturn co-located) / DNS (Cloudflare)</t>
  </si>
  <si>
    <t xml:space="preserve">co-located; Cloudflare DNS free</t>
  </si>
  <si>
    <t xml:space="preserve">Резерв на bandwidth overflow</t>
  </si>
  <si>
    <t xml:space="preserve">20 TB включено в тариф ноды</t>
  </si>
  <si>
    <t xml:space="preserve">Итого / мес</t>
  </si>
  <si>
    <t xml:space="preserve">Итого / год</t>
  </si>
  <si>
    <t xml:space="preserve">Разовые / годовые</t>
  </si>
  <si>
    <t xml:space="preserve">€</t>
  </si>
  <si>
    <t xml:space="preserve">Apple Developer Program</t>
  </si>
  <si>
    <t xml:space="preserve">в год</t>
  </si>
  <si>
    <t xml:space="preserve">Google Play Developer</t>
  </si>
  <si>
    <t xml:space="preserve">разово</t>
  </si>
  <si>
    <t xml:space="preserve">Юр. ревью consent / DPA / privacy</t>
  </si>
  <si>
    <t xml:space="preserve">внутри или ~€1000–2000 внешне</t>
  </si>
  <si>
    <t xml:space="preserve">Вывод: бюджет программы определяется инженерным временем, не инфрой (recurring ≈ €35–70/мес).</t>
  </si>
  <si>
    <t xml:space="preserve">Диаграмма Ганта — команда 4–5 человек (недели)</t>
  </si>
  <si>
    <t xml:space="preserve">#</t>
  </si>
  <si>
    <t xml:space="preserve">Задача</t>
  </si>
  <si>
    <t xml:space="preserve">Роли</t>
  </si>
  <si>
    <t xml:space="preserve">Старт</t>
  </si>
  <si>
    <t xml:space="preserve">Длит.</t>
  </si>
  <si>
    <t xml:space="preserve">Фаза 0 — Фундамент (инфра + token-server)</t>
  </si>
  <si>
    <t xml:space="preserve">Базовая инфра + CI/CD (с нуля)</t>
  </si>
  <si>
    <t xml:space="preserve">Token-server core (API/коды/join/JWT)</t>
  </si>
  <si>
    <t xml:space="preserve">Hardening + мониторинг + backups</t>
  </si>
  <si>
    <t xml:space="preserve">Auth-интеграция + Egress + reliability + автотесты</t>
  </si>
  <si>
    <t xml:space="preserve">Security/GDPR + shared</t>
  </si>
  <si>
    <t xml:space="preserve">iOS SDK core (capture/publish/transport/state)</t>
  </si>
  <si>
    <t xml:space="preserve">Reconnect + аннотации + тесты + device QA</t>
  </si>
  <si>
    <t xml:space="preserve">Android SDK (MediaProjection + foreground svc)</t>
  </si>
  <si>
    <t xml:space="preserve">Feature-parity + QA фрагментация</t>
  </si>
  <si>
    <t xml:space="preserve">Интеграция + viewer + аннотации</t>
  </si>
  <si>
    <t xml:space="preserve">Playback + auth + integration QA</t>
  </si>
  <si>
    <t xml:space="preserve">Web-клиент (getDisplayMedia)</t>
  </si>
  <si>
    <t xml:space="preserve">Cross-browser QA</t>
  </si>
  <si>
    <t xml:space="preserve">Load-test 50 сессий (mixed)</t>
  </si>
  <si>
    <t xml:space="preserve">GDPR sign-off + runbook + buffer</t>
  </si>
  <si>
    <t xml:space="preserve">◆ Прод-релиз ≈ конец недели 13</t>
  </si>
  <si>
    <t xml:space="preserve">Полосы = загрузка фазы. Старт/Длит. (жёлтые) — входные: меняйте, полосы двигаются.</t>
  </si>
  <si>
    <t xml:space="preserve">Легенда:</t>
  </si>
  <si>
    <t xml:space="preserve">Ф.0</t>
  </si>
  <si>
    <t xml:space="preserve">Ф.1</t>
  </si>
  <si>
    <t xml:space="preserve">Ф.2</t>
  </si>
  <si>
    <t xml:space="preserve">Ф.3</t>
  </si>
  <si>
    <t xml:space="preserve">Ф.4</t>
  </si>
  <si>
    <t xml:space="preserve">Ф.5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</si>
</sst>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0.#;\-0.#;\-"/>
    <numFmt numFmtId="168" formatCode="#,##0&quot; €&quot;;\-#,##0&quot; €&quot;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C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8"/>
      <color rgb="FF59595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2DCDB"/>
      </patternFill>
    </fill>
    <fill>
      <patternFill patternType="solid">
        <fgColor rgb="FFE9E1F2"/>
        <bgColor rgb="FFD9E1F2"/>
      </patternFill>
    </fill>
    <fill>
      <patternFill patternType="solid">
        <fgColor rgb="FFF2DCDB"/>
        <bgColor rgb="FFFCE4D6"/>
      </patternFill>
    </fill>
    <fill>
      <patternFill patternType="solid">
        <fgColor rgb="FF4472C4"/>
        <bgColor rgb="FF2E75B6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6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1F2"/>
      <rgbColor rgb="FFE2EFDA"/>
      <rgbColor rgb="FFFCE4D6"/>
      <rgbColor rgb="FF99CCFF"/>
      <rgbColor rgb="FFFF99CC"/>
      <rgbColor rgb="FFCC99FF"/>
      <rgbColor rgb="FFF2DCDB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</row>
    <row r="6" customFormat="false" ht="15" hidden="false" customHeight="true" outlineLevel="0" collapsed="false">
      <c r="A6" s="4" t="s">
        <v>5</v>
      </c>
      <c r="B6" s="5" t="s">
        <v>6</v>
      </c>
      <c r="C6" s="5"/>
      <c r="D6" s="5"/>
    </row>
    <row r="7" customFormat="false" ht="15" hidden="false" customHeight="true" outlineLevel="0" collapsed="false">
      <c r="A7" s="4" t="s">
        <v>7</v>
      </c>
      <c r="B7" s="5" t="s">
        <v>8</v>
      </c>
      <c r="C7" s="5"/>
      <c r="D7" s="5"/>
    </row>
    <row r="8" customFormat="false" ht="15" hidden="false" customHeight="true" outlineLevel="0" collapsed="false">
      <c r="A8" s="4" t="s">
        <v>9</v>
      </c>
      <c r="B8" s="5" t="s">
        <v>10</v>
      </c>
      <c r="C8" s="5"/>
      <c r="D8" s="5"/>
    </row>
    <row r="9" customFormat="false" ht="15" hidden="false" customHeight="true" outlineLevel="0" collapsed="false">
      <c r="A9" s="4" t="s">
        <v>11</v>
      </c>
      <c r="B9" s="5" t="s">
        <v>12</v>
      </c>
      <c r="C9" s="5"/>
      <c r="D9" s="5"/>
    </row>
    <row r="10" customFormat="false" ht="15" hidden="false" customHeight="true" outlineLevel="0" collapsed="false">
      <c r="A10" s="4" t="s">
        <v>13</v>
      </c>
      <c r="B10" s="5" t="s">
        <v>14</v>
      </c>
      <c r="C10" s="5"/>
      <c r="D10" s="5"/>
    </row>
    <row r="11" customFormat="false" ht="15" hidden="false" customHeight="true" outlineLevel="0" collapsed="false">
      <c r="A11" s="4" t="s">
        <v>15</v>
      </c>
      <c r="B11" s="5" t="s">
        <v>16</v>
      </c>
      <c r="C11" s="5"/>
      <c r="D11" s="5"/>
    </row>
    <row r="12" customFormat="false" ht="15" hidden="false" customHeight="true" outlineLevel="0" collapsed="false">
      <c r="A12" s="4" t="s">
        <v>17</v>
      </c>
      <c r="B12" s="5" t="s">
        <v>18</v>
      </c>
      <c r="C12" s="5"/>
      <c r="D12" s="5"/>
    </row>
    <row r="13" customFormat="false" ht="15" hidden="false" customHeight="true" outlineLevel="0" collapsed="false">
      <c r="A13" s="4" t="s">
        <v>19</v>
      </c>
      <c r="B13" s="5" t="s">
        <v>20</v>
      </c>
      <c r="C13" s="5"/>
      <c r="D13" s="5"/>
    </row>
    <row r="15" customFormat="false" ht="19.5" hidden="false" customHeight="true" outlineLevel="0" collapsed="false">
      <c r="A15" s="3" t="s">
        <v>21</v>
      </c>
      <c r="B15" s="3"/>
      <c r="C15" s="3"/>
      <c r="D15" s="3"/>
    </row>
    <row r="16" customFormat="false" ht="15" hidden="false" customHeight="false" outlineLevel="0" collapsed="false">
      <c r="A16" s="6" t="s">
        <v>22</v>
      </c>
      <c r="B16" s="7" t="n">
        <v>0.1</v>
      </c>
    </row>
    <row r="17" customFormat="false" ht="15" hidden="false" customHeight="false" outlineLevel="0" collapsed="false">
      <c r="A17" s="6" t="s">
        <v>23</v>
      </c>
      <c r="B17" s="7" t="n">
        <v>0.16</v>
      </c>
    </row>
    <row r="18" customFormat="false" ht="15" hidden="false" customHeight="false" outlineLevel="0" collapsed="false">
      <c r="A18" s="6" t="s">
        <v>24</v>
      </c>
      <c r="B18" s="8" t="n">
        <v>0.87</v>
      </c>
    </row>
    <row r="19" customFormat="false" ht="15" hidden="false" customHeight="false" outlineLevel="0" collapsed="false">
      <c r="A19" s="6" t="s">
        <v>25</v>
      </c>
      <c r="B19" s="8" t="n">
        <v>1.15</v>
      </c>
    </row>
    <row r="21" customFormat="false" ht="19.5" hidden="false" customHeight="true" outlineLevel="0" collapsed="false">
      <c r="A21" s="3" t="s">
        <v>26</v>
      </c>
      <c r="B21" s="3"/>
      <c r="C21" s="3"/>
      <c r="D21" s="3"/>
    </row>
    <row r="22" customFormat="false" ht="15" hidden="false" customHeight="false" outlineLevel="0" collapsed="false">
      <c r="A22" s="6" t="s">
        <v>27</v>
      </c>
      <c r="B22" s="9" t="n">
        <f aca="false">'Оценка (WBS)'!J40</f>
        <v>132.5</v>
      </c>
    </row>
    <row r="23" customFormat="false" ht="15" hidden="false" customHeight="false" outlineLevel="0" collapsed="false">
      <c r="A23" s="6" t="s">
        <v>28</v>
      </c>
      <c r="B23" s="10" t="n">
        <f aca="false">B22*B16</f>
        <v>13.25</v>
      </c>
    </row>
    <row r="24" customFormat="false" ht="15" hidden="false" customHeight="false" outlineLevel="0" collapsed="false">
      <c r="A24" s="6" t="s">
        <v>29</v>
      </c>
      <c r="B24" s="10" t="n">
        <f aca="false">B22*B17</f>
        <v>21.2</v>
      </c>
    </row>
    <row r="25" customFormat="false" ht="15" hidden="false" customHeight="false" outlineLevel="0" collapsed="false">
      <c r="A25" s="11" t="s">
        <v>30</v>
      </c>
      <c r="B25" s="12" t="n">
        <f aca="false">B22+B23+B24</f>
        <v>166.95</v>
      </c>
    </row>
    <row r="26" customFormat="false" ht="15" hidden="false" customHeight="false" outlineLevel="0" collapsed="false">
      <c r="A26" s="6" t="s">
        <v>31</v>
      </c>
      <c r="B26" s="10" t="n">
        <f aca="false">B25*B18</f>
        <v>145.2465</v>
      </c>
    </row>
    <row r="27" customFormat="false" ht="15" hidden="false" customHeight="false" outlineLevel="0" collapsed="false">
      <c r="A27" s="6" t="s">
        <v>32</v>
      </c>
      <c r="B27" s="10" t="n">
        <f aca="false">B25*B19</f>
        <v>191.9925</v>
      </c>
    </row>
    <row r="29" customFormat="false" ht="19.5" hidden="false" customHeight="true" outlineLevel="0" collapsed="false">
      <c r="A29" s="3" t="s">
        <v>33</v>
      </c>
      <c r="B29" s="3"/>
      <c r="C29" s="3"/>
    </row>
    <row r="30" customFormat="false" ht="15" hidden="false" customHeight="false" outlineLevel="0" collapsed="false">
      <c r="A30" s="13" t="s">
        <v>34</v>
      </c>
      <c r="B30" s="13" t="s">
        <v>35</v>
      </c>
      <c r="C30" s="13" t="s">
        <v>36</v>
      </c>
    </row>
    <row r="31" customFormat="false" ht="15" hidden="false" customHeight="false" outlineLevel="0" collapsed="false">
      <c r="A31" s="14" t="s">
        <v>37</v>
      </c>
      <c r="B31" s="15" t="n">
        <f aca="false">SUM('Оценка (WBS)'!J4:J18)</f>
        <v>52</v>
      </c>
      <c r="C31" s="16" t="n">
        <f aca="false">B31/$B$22</f>
        <v>0.392452830188679</v>
      </c>
    </row>
    <row r="32" customFormat="false" ht="15" hidden="false" customHeight="false" outlineLevel="0" collapsed="false">
      <c r="A32" s="14" t="s">
        <v>38</v>
      </c>
      <c r="B32" s="15" t="n">
        <f aca="false">SUM('Оценка (WBS)'!J19:J27)</f>
        <v>24</v>
      </c>
      <c r="C32" s="16" t="n">
        <f aca="false">B32/$B$22</f>
        <v>0.181132075471698</v>
      </c>
    </row>
    <row r="33" customFormat="false" ht="15" hidden="false" customHeight="false" outlineLevel="0" collapsed="false">
      <c r="A33" s="14" t="s">
        <v>39</v>
      </c>
      <c r="B33" s="15" t="n">
        <f aca="false">SUM('Оценка (WBS)'!J28:J29)</f>
        <v>19.5</v>
      </c>
      <c r="C33" s="16" t="n">
        <f aca="false">B33/$B$22</f>
        <v>0.147169811320755</v>
      </c>
    </row>
    <row r="34" customFormat="false" ht="15" hidden="false" customHeight="false" outlineLevel="0" collapsed="false">
      <c r="A34" s="14" t="s">
        <v>40</v>
      </c>
      <c r="B34" s="15" t="n">
        <f aca="false">SUM('Оценка (WBS)'!J30:J35)</f>
        <v>15.5</v>
      </c>
      <c r="C34" s="16" t="n">
        <f aca="false">B34/$B$22</f>
        <v>0.116981132075472</v>
      </c>
    </row>
    <row r="35" customFormat="false" ht="15" hidden="false" customHeight="false" outlineLevel="0" collapsed="false">
      <c r="A35" s="14" t="s">
        <v>41</v>
      </c>
      <c r="B35" s="15" t="n">
        <f aca="false">SUM('Оценка (WBS)'!J36:J37)</f>
        <v>15.5</v>
      </c>
      <c r="C35" s="16" t="n">
        <f aca="false">B35/$B$22</f>
        <v>0.116981132075472</v>
      </c>
    </row>
    <row r="36" customFormat="false" ht="15" hidden="false" customHeight="false" outlineLevel="0" collapsed="false">
      <c r="A36" s="14" t="s">
        <v>42</v>
      </c>
      <c r="B36" s="15" t="n">
        <f aca="false">SUM('Оценка (WBS)'!J38:J39)</f>
        <v>6</v>
      </c>
      <c r="C36" s="16" t="n">
        <f aca="false">B36/$B$22</f>
        <v>0.0452830188679245</v>
      </c>
    </row>
    <row r="37" customFormat="false" ht="15" hidden="false" customHeight="false" outlineLevel="0" collapsed="false">
      <c r="A37" s="17" t="s">
        <v>43</v>
      </c>
      <c r="B37" s="18" t="n">
        <f aca="false">SUM(B31:B36)</f>
        <v>132.5</v>
      </c>
      <c r="C37" s="19" t="n">
        <f aca="false">B37/$B$22</f>
        <v>1</v>
      </c>
    </row>
    <row r="40" customFormat="false" ht="19.5" hidden="false" customHeight="true" outlineLevel="0" collapsed="false">
      <c r="A40" s="3" t="s">
        <v>44</v>
      </c>
      <c r="B40" s="3"/>
      <c r="C40" s="3"/>
      <c r="D40" s="3"/>
    </row>
    <row r="41" customFormat="false" ht="15" hidden="false" customHeight="false" outlineLevel="0" collapsed="false">
      <c r="A41" s="13" t="s">
        <v>45</v>
      </c>
      <c r="B41" s="13" t="s">
        <v>35</v>
      </c>
      <c r="C41" s="13" t="s">
        <v>46</v>
      </c>
      <c r="D41" s="13" t="s">
        <v>47</v>
      </c>
    </row>
    <row r="42" customFormat="false" ht="15" hidden="false" customHeight="false" outlineLevel="0" collapsed="false">
      <c r="A42" s="14" t="s">
        <v>48</v>
      </c>
      <c r="B42" s="15" t="n">
        <f aca="false">'Оценка (WBS)'!D40</f>
        <v>20</v>
      </c>
      <c r="C42" s="20" t="n">
        <v>400</v>
      </c>
      <c r="D42" s="21" t="n">
        <f aca="false">B42*C42</f>
        <v>8000</v>
      </c>
    </row>
    <row r="43" customFormat="false" ht="15" hidden="false" customHeight="false" outlineLevel="0" collapsed="false">
      <c r="A43" s="14" t="s">
        <v>49</v>
      </c>
      <c r="B43" s="15" t="n">
        <f aca="false">'Оценка (WBS)'!E40</f>
        <v>15.5</v>
      </c>
      <c r="C43" s="20" t="n">
        <v>400</v>
      </c>
      <c r="D43" s="21" t="n">
        <f aca="false">B43*C43</f>
        <v>6200</v>
      </c>
    </row>
    <row r="44" customFormat="false" ht="15" hidden="false" customHeight="false" outlineLevel="0" collapsed="false">
      <c r="A44" s="14" t="s">
        <v>50</v>
      </c>
      <c r="B44" s="15" t="n">
        <f aca="false">'Оценка (WBS)'!F40</f>
        <v>24</v>
      </c>
      <c r="C44" s="20" t="n">
        <v>400</v>
      </c>
      <c r="D44" s="21" t="n">
        <f aca="false">B44*C44</f>
        <v>9600</v>
      </c>
    </row>
    <row r="45" customFormat="false" ht="15" hidden="false" customHeight="false" outlineLevel="0" collapsed="false">
      <c r="A45" s="14" t="s">
        <v>51</v>
      </c>
      <c r="B45" s="15" t="n">
        <f aca="false">'Оценка (WBS)'!G40</f>
        <v>27.5</v>
      </c>
      <c r="C45" s="20" t="n">
        <v>400</v>
      </c>
      <c r="D45" s="21" t="n">
        <f aca="false">B45*C45</f>
        <v>11000</v>
      </c>
    </row>
    <row r="46" customFormat="false" ht="15" hidden="false" customHeight="false" outlineLevel="0" collapsed="false">
      <c r="A46" s="14" t="s">
        <v>52</v>
      </c>
      <c r="B46" s="15" t="n">
        <f aca="false">'Оценка (WBS)'!H40</f>
        <v>26</v>
      </c>
      <c r="C46" s="20" t="n">
        <v>450</v>
      </c>
      <c r="D46" s="21" t="n">
        <f aca="false">B46*C46</f>
        <v>11700</v>
      </c>
    </row>
    <row r="47" customFormat="false" ht="15" hidden="false" customHeight="false" outlineLevel="0" collapsed="false">
      <c r="A47" s="14" t="s">
        <v>53</v>
      </c>
      <c r="B47" s="15" t="n">
        <f aca="false">'Оценка (WBS)'!I40</f>
        <v>19.5</v>
      </c>
      <c r="C47" s="20" t="n">
        <v>320</v>
      </c>
      <c r="D47" s="21" t="n">
        <f aca="false">B47*C47</f>
        <v>6240</v>
      </c>
    </row>
    <row r="48" customFormat="false" ht="15" hidden="false" customHeight="false" outlineLevel="0" collapsed="false">
      <c r="A48" s="4" t="s">
        <v>54</v>
      </c>
      <c r="B48" s="22" t="n">
        <f aca="false">SUM(B42:B47)</f>
        <v>132.5</v>
      </c>
      <c r="D48" s="23" t="n">
        <f aca="false">SUM(D42:D47)</f>
        <v>52740</v>
      </c>
    </row>
    <row r="49" customFormat="false" ht="15" hidden="false" customHeight="false" outlineLevel="0" collapsed="false">
      <c r="A49" s="6" t="s">
        <v>55</v>
      </c>
      <c r="B49" s="24" t="n">
        <f aca="false">B48*(B16+B17)</f>
        <v>34.45</v>
      </c>
      <c r="D49" s="25" t="n">
        <f aca="false">D48*(B16+B17)</f>
        <v>13712.4</v>
      </c>
    </row>
    <row r="50" customFormat="false" ht="15" hidden="false" customHeight="false" outlineLevel="0" collapsed="false">
      <c r="A50" s="11" t="s">
        <v>56</v>
      </c>
      <c r="B50" s="12" t="n">
        <f aca="false">B48+B49</f>
        <v>166.95</v>
      </c>
      <c r="C50" s="26"/>
      <c r="D50" s="27" t="n">
        <f aca="false">D48+D49</f>
        <v>66452.4</v>
      </c>
    </row>
    <row r="52" customFormat="false" ht="15" hidden="false" customHeight="false" outlineLevel="0" collapsed="false">
      <c r="A52" s="28" t="s">
        <v>57</v>
      </c>
      <c r="B52" s="28"/>
      <c r="C52" s="28"/>
      <c r="D52" s="28"/>
    </row>
    <row r="54" customFormat="false" ht="19.5" hidden="false" customHeight="true" outlineLevel="0" collapsed="false">
      <c r="A54" s="3" t="s">
        <v>58</v>
      </c>
      <c r="B54" s="3"/>
      <c r="C54" s="3"/>
      <c r="D54" s="3"/>
    </row>
    <row r="55" customFormat="false" ht="15" hidden="false" customHeight="false" outlineLevel="0" collapsed="false">
      <c r="A55" s="4" t="s">
        <v>59</v>
      </c>
      <c r="B55" s="29" t="s">
        <v>60</v>
      </c>
      <c r="C55" s="29"/>
      <c r="D55" s="29"/>
    </row>
    <row r="56" customFormat="false" ht="15" hidden="false" customHeight="false" outlineLevel="0" collapsed="false">
      <c r="A56" s="4" t="s">
        <v>61</v>
      </c>
      <c r="B56" s="29" t="s">
        <v>62</v>
      </c>
      <c r="C56" s="29"/>
      <c r="D56" s="29"/>
    </row>
    <row r="57" customFormat="false" ht="15" hidden="false" customHeight="false" outlineLevel="0" collapsed="false">
      <c r="A57" s="4" t="s">
        <v>63</v>
      </c>
      <c r="B57" s="29" t="s">
        <v>64</v>
      </c>
      <c r="C57" s="29"/>
      <c r="D57" s="29"/>
    </row>
    <row r="58" customFormat="false" ht="15" hidden="false" customHeight="false" outlineLevel="0" collapsed="false">
      <c r="A58" s="4" t="s">
        <v>65</v>
      </c>
      <c r="B58" s="29" t="s">
        <v>66</v>
      </c>
      <c r="C58" s="29"/>
      <c r="D58" s="29"/>
    </row>
  </sheetData>
  <mergeCells count="22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A15:D15"/>
    <mergeCell ref="A21:D21"/>
    <mergeCell ref="A29:C29"/>
    <mergeCell ref="A40:D40"/>
    <mergeCell ref="A52:D52"/>
    <mergeCell ref="A54:D54"/>
    <mergeCell ref="B55:D55"/>
    <mergeCell ref="B56:D56"/>
    <mergeCell ref="B57:D57"/>
    <mergeCell ref="B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30" hidden="false" customHeight="true" outlineLevel="0" collapsed="false">
      <c r="A3" s="30" t="s">
        <v>34</v>
      </c>
      <c r="B3" s="30" t="s">
        <v>68</v>
      </c>
      <c r="C3" s="30" t="s">
        <v>69</v>
      </c>
      <c r="D3" s="30" t="s">
        <v>48</v>
      </c>
      <c r="E3" s="30" t="s">
        <v>49</v>
      </c>
      <c r="F3" s="30" t="s">
        <v>50</v>
      </c>
      <c r="G3" s="30" t="s">
        <v>70</v>
      </c>
      <c r="H3" s="30" t="s">
        <v>71</v>
      </c>
      <c r="I3" s="30" t="s">
        <v>53</v>
      </c>
      <c r="J3" s="30" t="s">
        <v>72</v>
      </c>
    </row>
    <row r="4" customFormat="false" ht="30" hidden="false" customHeight="true" outlineLevel="0" collapsed="false">
      <c r="A4" s="31" t="s">
        <v>37</v>
      </c>
      <c r="B4" s="32" t="s">
        <v>73</v>
      </c>
      <c r="C4" s="32" t="s">
        <v>71</v>
      </c>
      <c r="D4" s="33" t="n">
        <v>0</v>
      </c>
      <c r="E4" s="33" t="n">
        <v>0</v>
      </c>
      <c r="F4" s="33" t="n">
        <v>0</v>
      </c>
      <c r="G4" s="33" t="n">
        <v>0</v>
      </c>
      <c r="H4" s="33" t="n">
        <v>3</v>
      </c>
      <c r="I4" s="33" t="n">
        <v>0</v>
      </c>
      <c r="J4" s="34" t="n">
        <f aca="false">SUM(D4:I4)</f>
        <v>3</v>
      </c>
    </row>
    <row r="5" customFormat="false" ht="30" hidden="false" customHeight="true" outlineLevel="0" collapsed="false">
      <c r="A5" s="31" t="s">
        <v>37</v>
      </c>
      <c r="B5" s="32" t="s">
        <v>74</v>
      </c>
      <c r="C5" s="32" t="s">
        <v>71</v>
      </c>
      <c r="D5" s="33" t="n">
        <v>0</v>
      </c>
      <c r="E5" s="33" t="n">
        <v>0</v>
      </c>
      <c r="F5" s="33" t="n">
        <v>0</v>
      </c>
      <c r="G5" s="33" t="n">
        <v>0</v>
      </c>
      <c r="H5" s="33" t="n">
        <v>2</v>
      </c>
      <c r="I5" s="33" t="n">
        <v>0</v>
      </c>
      <c r="J5" s="34" t="n">
        <f aca="false">SUM(D5:I5)</f>
        <v>2</v>
      </c>
    </row>
    <row r="6" customFormat="false" ht="30" hidden="false" customHeight="true" outlineLevel="0" collapsed="false">
      <c r="A6" s="31" t="s">
        <v>37</v>
      </c>
      <c r="B6" s="32" t="s">
        <v>75</v>
      </c>
      <c r="C6" s="32" t="s">
        <v>71</v>
      </c>
      <c r="D6" s="33" t="n">
        <v>0</v>
      </c>
      <c r="E6" s="33" t="n">
        <v>0</v>
      </c>
      <c r="F6" s="33" t="n">
        <v>0</v>
      </c>
      <c r="G6" s="33" t="n">
        <v>0</v>
      </c>
      <c r="H6" s="33" t="n">
        <v>6</v>
      </c>
      <c r="I6" s="33" t="n">
        <v>0</v>
      </c>
      <c r="J6" s="34" t="n">
        <f aca="false">SUM(D6:I6)</f>
        <v>6</v>
      </c>
    </row>
    <row r="7" customFormat="false" ht="30" hidden="false" customHeight="true" outlineLevel="0" collapsed="false">
      <c r="A7" s="31" t="s">
        <v>37</v>
      </c>
      <c r="B7" s="32" t="s">
        <v>76</v>
      </c>
      <c r="C7" s="32" t="s">
        <v>71</v>
      </c>
      <c r="D7" s="33" t="n">
        <v>0</v>
      </c>
      <c r="E7" s="33" t="n">
        <v>0</v>
      </c>
      <c r="F7" s="33" t="n">
        <v>0</v>
      </c>
      <c r="G7" s="33" t="n">
        <v>0</v>
      </c>
      <c r="H7" s="33" t="n">
        <v>6</v>
      </c>
      <c r="I7" s="33" t="n">
        <v>0</v>
      </c>
      <c r="J7" s="34" t="n">
        <f aca="false">SUM(D7:I7)</f>
        <v>6</v>
      </c>
    </row>
    <row r="8" customFormat="false" ht="30" hidden="false" customHeight="true" outlineLevel="0" collapsed="false">
      <c r="A8" s="31" t="s">
        <v>37</v>
      </c>
      <c r="B8" s="32" t="s">
        <v>77</v>
      </c>
      <c r="C8" s="32" t="s">
        <v>71</v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1.5</v>
      </c>
      <c r="I8" s="33" t="n">
        <v>0</v>
      </c>
      <c r="J8" s="34" t="n">
        <f aca="false">SUM(D8:I8)</f>
        <v>1.5</v>
      </c>
    </row>
    <row r="9" customFormat="false" ht="30" hidden="false" customHeight="true" outlineLevel="0" collapsed="false">
      <c r="A9" s="31" t="s">
        <v>37</v>
      </c>
      <c r="B9" s="32" t="s">
        <v>78</v>
      </c>
      <c r="C9" s="32" t="s">
        <v>50</v>
      </c>
      <c r="D9" s="33" t="n">
        <v>0</v>
      </c>
      <c r="E9" s="33" t="n">
        <v>0</v>
      </c>
      <c r="F9" s="33" t="n">
        <v>2</v>
      </c>
      <c r="G9" s="33" t="n">
        <v>0</v>
      </c>
      <c r="H9" s="33" t="n">
        <v>0</v>
      </c>
      <c r="I9" s="33" t="n">
        <v>0</v>
      </c>
      <c r="J9" s="34" t="n">
        <f aca="false">SUM(D9:I9)</f>
        <v>2</v>
      </c>
    </row>
    <row r="10" customFormat="false" ht="30" hidden="false" customHeight="true" outlineLevel="0" collapsed="false">
      <c r="A10" s="31" t="s">
        <v>37</v>
      </c>
      <c r="B10" s="32" t="s">
        <v>79</v>
      </c>
      <c r="C10" s="32" t="s">
        <v>50</v>
      </c>
      <c r="D10" s="33" t="n">
        <v>0</v>
      </c>
      <c r="E10" s="33" t="n">
        <v>0</v>
      </c>
      <c r="F10" s="33" t="n">
        <v>3.5</v>
      </c>
      <c r="G10" s="33" t="n">
        <v>0</v>
      </c>
      <c r="H10" s="33" t="n">
        <v>0</v>
      </c>
      <c r="I10" s="33" t="n">
        <v>0</v>
      </c>
      <c r="J10" s="34" t="n">
        <f aca="false">SUM(D10:I10)</f>
        <v>3.5</v>
      </c>
    </row>
    <row r="11" customFormat="false" ht="30" hidden="false" customHeight="true" outlineLevel="0" collapsed="false">
      <c r="A11" s="31" t="s">
        <v>37</v>
      </c>
      <c r="B11" s="32" t="s">
        <v>80</v>
      </c>
      <c r="C11" s="32" t="s">
        <v>50</v>
      </c>
      <c r="D11" s="33" t="n">
        <v>0</v>
      </c>
      <c r="E11" s="33" t="n">
        <v>0</v>
      </c>
      <c r="F11" s="33" t="n">
        <v>4</v>
      </c>
      <c r="G11" s="33" t="n">
        <v>0</v>
      </c>
      <c r="H11" s="33" t="n">
        <v>0</v>
      </c>
      <c r="I11" s="33" t="n">
        <v>0</v>
      </c>
      <c r="J11" s="34" t="n">
        <f aca="false">SUM(D11:I11)</f>
        <v>4</v>
      </c>
    </row>
    <row r="12" customFormat="false" ht="30" hidden="false" customHeight="true" outlineLevel="0" collapsed="false">
      <c r="A12" s="31" t="s">
        <v>37</v>
      </c>
      <c r="B12" s="32" t="s">
        <v>81</v>
      </c>
      <c r="C12" s="32" t="s">
        <v>50</v>
      </c>
      <c r="D12" s="33" t="n">
        <v>0</v>
      </c>
      <c r="E12" s="33" t="n">
        <v>0</v>
      </c>
      <c r="F12" s="33" t="n">
        <v>2</v>
      </c>
      <c r="G12" s="33" t="n">
        <v>0</v>
      </c>
      <c r="H12" s="33" t="n">
        <v>0</v>
      </c>
      <c r="I12" s="33" t="n">
        <v>0</v>
      </c>
      <c r="J12" s="34" t="n">
        <f aca="false">SUM(D12:I12)</f>
        <v>2</v>
      </c>
    </row>
    <row r="13" customFormat="false" ht="30" hidden="false" customHeight="true" outlineLevel="0" collapsed="false">
      <c r="A13" s="31" t="s">
        <v>37</v>
      </c>
      <c r="B13" s="32" t="s">
        <v>82</v>
      </c>
      <c r="C13" s="32" t="s">
        <v>50</v>
      </c>
      <c r="D13" s="33" t="n">
        <v>0</v>
      </c>
      <c r="E13" s="33" t="n">
        <v>0</v>
      </c>
      <c r="F13" s="33" t="n">
        <v>2.5</v>
      </c>
      <c r="G13" s="33" t="n">
        <v>0</v>
      </c>
      <c r="H13" s="33" t="n">
        <v>0</v>
      </c>
      <c r="I13" s="33" t="n">
        <v>0</v>
      </c>
      <c r="J13" s="34" t="n">
        <f aca="false">SUM(D13:I13)</f>
        <v>2.5</v>
      </c>
    </row>
    <row r="14" customFormat="false" ht="30" hidden="false" customHeight="true" outlineLevel="0" collapsed="false">
      <c r="A14" s="31" t="s">
        <v>37</v>
      </c>
      <c r="B14" s="32" t="s">
        <v>83</v>
      </c>
      <c r="C14" s="32" t="s">
        <v>84</v>
      </c>
      <c r="D14" s="33" t="n">
        <v>0</v>
      </c>
      <c r="E14" s="33" t="n">
        <v>0</v>
      </c>
      <c r="F14" s="33" t="n">
        <v>3.5</v>
      </c>
      <c r="G14" s="33" t="n">
        <v>0</v>
      </c>
      <c r="H14" s="33" t="n">
        <v>3</v>
      </c>
      <c r="I14" s="33" t="n">
        <v>0</v>
      </c>
      <c r="J14" s="34" t="n">
        <f aca="false">SUM(D14:I14)</f>
        <v>6.5</v>
      </c>
    </row>
    <row r="15" customFormat="false" ht="30" hidden="false" customHeight="true" outlineLevel="0" collapsed="false">
      <c r="A15" s="31" t="s">
        <v>37</v>
      </c>
      <c r="B15" s="32" t="s">
        <v>85</v>
      </c>
      <c r="C15" s="32" t="s">
        <v>86</v>
      </c>
      <c r="D15" s="33" t="n">
        <v>0</v>
      </c>
      <c r="E15" s="33" t="n">
        <v>0</v>
      </c>
      <c r="F15" s="33" t="n">
        <v>1</v>
      </c>
      <c r="G15" s="33" t="n">
        <v>0</v>
      </c>
      <c r="H15" s="33" t="n">
        <v>2.5</v>
      </c>
      <c r="I15" s="33" t="n">
        <v>0</v>
      </c>
      <c r="J15" s="34" t="n">
        <f aca="false">SUM(D15:I15)</f>
        <v>3.5</v>
      </c>
    </row>
    <row r="16" customFormat="false" ht="30" hidden="false" customHeight="true" outlineLevel="0" collapsed="false">
      <c r="A16" s="31" t="s">
        <v>37</v>
      </c>
      <c r="B16" s="32" t="s">
        <v>87</v>
      </c>
      <c r="C16" s="32" t="s">
        <v>88</v>
      </c>
      <c r="D16" s="33" t="n">
        <v>0</v>
      </c>
      <c r="E16" s="33" t="n">
        <v>0</v>
      </c>
      <c r="F16" s="33" t="n">
        <v>1</v>
      </c>
      <c r="G16" s="33" t="n">
        <v>0</v>
      </c>
      <c r="H16" s="33" t="n">
        <v>0</v>
      </c>
      <c r="I16" s="33" t="n">
        <v>3</v>
      </c>
      <c r="J16" s="34" t="n">
        <f aca="false">SUM(D16:I16)</f>
        <v>4</v>
      </c>
    </row>
    <row r="17" customFormat="false" ht="30" hidden="false" customHeight="true" outlineLevel="0" collapsed="false">
      <c r="A17" s="31" t="s">
        <v>37</v>
      </c>
      <c r="B17" s="32" t="s">
        <v>89</v>
      </c>
      <c r="C17" s="32" t="s">
        <v>50</v>
      </c>
      <c r="D17" s="33" t="n">
        <v>0</v>
      </c>
      <c r="E17" s="33" t="n">
        <v>0</v>
      </c>
      <c r="F17" s="33" t="n">
        <v>3.5</v>
      </c>
      <c r="G17" s="33" t="n">
        <v>0</v>
      </c>
      <c r="H17" s="33" t="n">
        <v>0</v>
      </c>
      <c r="I17" s="33" t="n">
        <v>0</v>
      </c>
      <c r="J17" s="34" t="n">
        <f aca="false">SUM(D17:I17)</f>
        <v>3.5</v>
      </c>
    </row>
    <row r="18" customFormat="false" ht="30" hidden="false" customHeight="true" outlineLevel="0" collapsed="false">
      <c r="A18" s="31" t="s">
        <v>37</v>
      </c>
      <c r="B18" s="32" t="s">
        <v>90</v>
      </c>
      <c r="C18" s="32" t="s">
        <v>91</v>
      </c>
      <c r="D18" s="33" t="n">
        <v>0</v>
      </c>
      <c r="E18" s="33" t="n">
        <v>0</v>
      </c>
      <c r="F18" s="33" t="n">
        <v>1</v>
      </c>
      <c r="G18" s="33" t="n">
        <v>1</v>
      </c>
      <c r="H18" s="33" t="n">
        <v>0</v>
      </c>
      <c r="I18" s="33" t="n">
        <v>0</v>
      </c>
      <c r="J18" s="34" t="n">
        <f aca="false">SUM(D18:I18)</f>
        <v>2</v>
      </c>
    </row>
    <row r="19" customFormat="false" ht="30" hidden="false" customHeight="true" outlineLevel="0" collapsed="false">
      <c r="A19" s="35" t="s">
        <v>38</v>
      </c>
      <c r="B19" s="32" t="s">
        <v>92</v>
      </c>
      <c r="C19" s="32" t="s">
        <v>48</v>
      </c>
      <c r="D19" s="33" t="n">
        <v>2</v>
      </c>
      <c r="E19" s="33" t="n">
        <v>0</v>
      </c>
      <c r="F19" s="33" t="n">
        <v>0</v>
      </c>
      <c r="G19" s="33" t="n">
        <v>0</v>
      </c>
      <c r="H19" s="33" t="n">
        <v>0</v>
      </c>
      <c r="I19" s="33" t="n">
        <v>0</v>
      </c>
      <c r="J19" s="36" t="n">
        <f aca="false">SUM(D19:I19)</f>
        <v>2</v>
      </c>
    </row>
    <row r="20" customFormat="false" ht="30" hidden="false" customHeight="true" outlineLevel="0" collapsed="false">
      <c r="A20" s="35" t="s">
        <v>38</v>
      </c>
      <c r="B20" s="32" t="s">
        <v>93</v>
      </c>
      <c r="C20" s="32" t="s">
        <v>48</v>
      </c>
      <c r="D20" s="33" t="n">
        <v>2.5</v>
      </c>
      <c r="E20" s="33" t="n">
        <v>0</v>
      </c>
      <c r="F20" s="33" t="n">
        <v>0</v>
      </c>
      <c r="G20" s="33" t="n">
        <v>0</v>
      </c>
      <c r="H20" s="33" t="n">
        <v>0</v>
      </c>
      <c r="I20" s="33" t="n">
        <v>0</v>
      </c>
      <c r="J20" s="36" t="n">
        <f aca="false">SUM(D20:I20)</f>
        <v>2.5</v>
      </c>
    </row>
    <row r="21" customFormat="false" ht="30" hidden="false" customHeight="true" outlineLevel="0" collapsed="false">
      <c r="A21" s="35" t="s">
        <v>38</v>
      </c>
      <c r="B21" s="32" t="s">
        <v>94</v>
      </c>
      <c r="C21" s="32" t="s">
        <v>48</v>
      </c>
      <c r="D21" s="33" t="n">
        <v>2.5</v>
      </c>
      <c r="E21" s="33" t="n">
        <v>0</v>
      </c>
      <c r="F21" s="33" t="n">
        <v>0</v>
      </c>
      <c r="G21" s="33" t="n">
        <v>0</v>
      </c>
      <c r="H21" s="33" t="n">
        <v>0</v>
      </c>
      <c r="I21" s="33" t="n">
        <v>0</v>
      </c>
      <c r="J21" s="36" t="n">
        <f aca="false">SUM(D21:I21)</f>
        <v>2.5</v>
      </c>
    </row>
    <row r="22" customFormat="false" ht="30" hidden="false" customHeight="true" outlineLevel="0" collapsed="false">
      <c r="A22" s="35" t="s">
        <v>38</v>
      </c>
      <c r="B22" s="32" t="s">
        <v>95</v>
      </c>
      <c r="C22" s="32" t="s">
        <v>48</v>
      </c>
      <c r="D22" s="33" t="n">
        <v>1.5</v>
      </c>
      <c r="E22" s="33" t="n">
        <v>0</v>
      </c>
      <c r="F22" s="33" t="n">
        <v>0</v>
      </c>
      <c r="G22" s="33" t="n">
        <v>0</v>
      </c>
      <c r="H22" s="33" t="n">
        <v>0</v>
      </c>
      <c r="I22" s="33" t="n">
        <v>0</v>
      </c>
      <c r="J22" s="36" t="n">
        <f aca="false">SUM(D22:I22)</f>
        <v>1.5</v>
      </c>
    </row>
    <row r="23" customFormat="false" ht="30" hidden="false" customHeight="true" outlineLevel="0" collapsed="false">
      <c r="A23" s="35" t="s">
        <v>38</v>
      </c>
      <c r="B23" s="32" t="s">
        <v>96</v>
      </c>
      <c r="C23" s="32" t="s">
        <v>48</v>
      </c>
      <c r="D23" s="33" t="n">
        <v>3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6" t="n">
        <f aca="false">SUM(D23:I23)</f>
        <v>3</v>
      </c>
    </row>
    <row r="24" customFormat="false" ht="30" hidden="false" customHeight="true" outlineLevel="0" collapsed="false">
      <c r="A24" s="35" t="s">
        <v>38</v>
      </c>
      <c r="B24" s="32" t="s">
        <v>97</v>
      </c>
      <c r="C24" s="32" t="s">
        <v>48</v>
      </c>
      <c r="D24" s="33" t="n">
        <v>2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6" t="n">
        <f aca="false">SUM(D24:I24)</f>
        <v>2</v>
      </c>
    </row>
    <row r="25" customFormat="false" ht="30" hidden="false" customHeight="true" outlineLevel="0" collapsed="false">
      <c r="A25" s="35" t="s">
        <v>38</v>
      </c>
      <c r="B25" s="32" t="s">
        <v>98</v>
      </c>
      <c r="C25" s="32" t="s">
        <v>48</v>
      </c>
      <c r="D25" s="33" t="n">
        <v>3.5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6" t="n">
        <f aca="false">SUM(D25:I25)</f>
        <v>3.5</v>
      </c>
    </row>
    <row r="26" customFormat="false" ht="30" hidden="false" customHeight="true" outlineLevel="0" collapsed="false">
      <c r="A26" s="35" t="s">
        <v>38</v>
      </c>
      <c r="B26" s="32" t="s">
        <v>99</v>
      </c>
      <c r="C26" s="32" t="s">
        <v>48</v>
      </c>
      <c r="D26" s="33" t="n">
        <v>2.5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6" t="n">
        <f aca="false">SUM(D26:I26)</f>
        <v>2.5</v>
      </c>
    </row>
    <row r="27" customFormat="false" ht="30" hidden="false" customHeight="true" outlineLevel="0" collapsed="false">
      <c r="A27" s="35" t="s">
        <v>38</v>
      </c>
      <c r="B27" s="32" t="s">
        <v>100</v>
      </c>
      <c r="C27" s="32" t="s">
        <v>101</v>
      </c>
      <c r="D27" s="33" t="n">
        <v>0.5</v>
      </c>
      <c r="E27" s="33" t="n">
        <v>0</v>
      </c>
      <c r="F27" s="33" t="n">
        <v>0</v>
      </c>
      <c r="G27" s="33" t="n">
        <v>0</v>
      </c>
      <c r="H27" s="33" t="n">
        <v>0</v>
      </c>
      <c r="I27" s="33" t="n">
        <v>4</v>
      </c>
      <c r="J27" s="36" t="n">
        <f aca="false">SUM(D27:I27)</f>
        <v>4.5</v>
      </c>
    </row>
    <row r="28" customFormat="false" ht="30" hidden="false" customHeight="true" outlineLevel="0" collapsed="false">
      <c r="A28" s="37" t="s">
        <v>39</v>
      </c>
      <c r="B28" s="32" t="s">
        <v>102</v>
      </c>
      <c r="C28" s="32" t="s">
        <v>103</v>
      </c>
      <c r="D28" s="33" t="n">
        <v>0</v>
      </c>
      <c r="E28" s="33" t="n">
        <v>12</v>
      </c>
      <c r="F28" s="33" t="n">
        <v>0</v>
      </c>
      <c r="G28" s="33" t="n">
        <v>0</v>
      </c>
      <c r="H28" s="33" t="n">
        <v>0</v>
      </c>
      <c r="I28" s="33" t="n">
        <v>4</v>
      </c>
      <c r="J28" s="38" t="n">
        <f aca="false">SUM(D28:I28)</f>
        <v>16</v>
      </c>
    </row>
    <row r="29" customFormat="false" ht="30" hidden="false" customHeight="true" outlineLevel="0" collapsed="false">
      <c r="A29" s="37" t="s">
        <v>39</v>
      </c>
      <c r="B29" s="32" t="s">
        <v>104</v>
      </c>
      <c r="C29" s="32" t="s">
        <v>49</v>
      </c>
      <c r="D29" s="33" t="n">
        <v>0</v>
      </c>
      <c r="E29" s="33" t="n">
        <v>3.5</v>
      </c>
      <c r="F29" s="33" t="n">
        <v>0</v>
      </c>
      <c r="G29" s="33" t="n">
        <v>0</v>
      </c>
      <c r="H29" s="33" t="n">
        <v>0</v>
      </c>
      <c r="I29" s="33" t="n">
        <v>0</v>
      </c>
      <c r="J29" s="38" t="n">
        <f aca="false">SUM(D29:I29)</f>
        <v>3.5</v>
      </c>
    </row>
    <row r="30" customFormat="false" ht="30" hidden="false" customHeight="true" outlineLevel="0" collapsed="false">
      <c r="A30" s="39" t="s">
        <v>40</v>
      </c>
      <c r="B30" s="32" t="s">
        <v>105</v>
      </c>
      <c r="C30" s="32" t="s">
        <v>106</v>
      </c>
      <c r="D30" s="33" t="n">
        <v>0</v>
      </c>
      <c r="E30" s="33" t="n">
        <v>0</v>
      </c>
      <c r="F30" s="33" t="n">
        <v>0</v>
      </c>
      <c r="G30" s="33" t="n">
        <v>2</v>
      </c>
      <c r="H30" s="33" t="n">
        <v>0</v>
      </c>
      <c r="I30" s="33" t="n">
        <v>0</v>
      </c>
      <c r="J30" s="40" t="n">
        <f aca="false">SUM(D30:I30)</f>
        <v>2</v>
      </c>
    </row>
    <row r="31" customFormat="false" ht="30" hidden="false" customHeight="true" outlineLevel="0" collapsed="false">
      <c r="A31" s="39" t="s">
        <v>40</v>
      </c>
      <c r="B31" s="32" t="s">
        <v>107</v>
      </c>
      <c r="C31" s="32" t="s">
        <v>106</v>
      </c>
      <c r="D31" s="33" t="n">
        <v>0</v>
      </c>
      <c r="E31" s="33" t="n">
        <v>0</v>
      </c>
      <c r="F31" s="33" t="n">
        <v>0</v>
      </c>
      <c r="G31" s="33" t="n">
        <v>3.5</v>
      </c>
      <c r="H31" s="33" t="n">
        <v>0</v>
      </c>
      <c r="I31" s="33" t="n">
        <v>0</v>
      </c>
      <c r="J31" s="40" t="n">
        <f aca="false">SUM(D31:I31)</f>
        <v>3.5</v>
      </c>
    </row>
    <row r="32" customFormat="false" ht="30" hidden="false" customHeight="true" outlineLevel="0" collapsed="false">
      <c r="A32" s="39" t="s">
        <v>40</v>
      </c>
      <c r="B32" s="32" t="s">
        <v>108</v>
      </c>
      <c r="C32" s="32" t="s">
        <v>106</v>
      </c>
      <c r="D32" s="33" t="n">
        <v>0</v>
      </c>
      <c r="E32" s="33" t="n">
        <v>0</v>
      </c>
      <c r="F32" s="33" t="n">
        <v>0</v>
      </c>
      <c r="G32" s="33" t="n">
        <v>4</v>
      </c>
      <c r="H32" s="33" t="n">
        <v>0</v>
      </c>
      <c r="I32" s="33" t="n">
        <v>0</v>
      </c>
      <c r="J32" s="40" t="n">
        <f aca="false">SUM(D32:I32)</f>
        <v>4</v>
      </c>
    </row>
    <row r="33" customFormat="false" ht="30" hidden="false" customHeight="true" outlineLevel="0" collapsed="false">
      <c r="A33" s="39" t="s">
        <v>40</v>
      </c>
      <c r="B33" s="32" t="s">
        <v>109</v>
      </c>
      <c r="C33" s="32" t="s">
        <v>106</v>
      </c>
      <c r="D33" s="33" t="n">
        <v>0</v>
      </c>
      <c r="E33" s="33" t="n">
        <v>0</v>
      </c>
      <c r="F33" s="33" t="n">
        <v>0</v>
      </c>
      <c r="G33" s="33" t="n">
        <v>2</v>
      </c>
      <c r="H33" s="33" t="n">
        <v>0</v>
      </c>
      <c r="I33" s="33" t="n">
        <v>0</v>
      </c>
      <c r="J33" s="40" t="n">
        <f aca="false">SUM(D33:I33)</f>
        <v>2</v>
      </c>
    </row>
    <row r="34" customFormat="false" ht="30" hidden="false" customHeight="true" outlineLevel="0" collapsed="false">
      <c r="A34" s="39" t="s">
        <v>40</v>
      </c>
      <c r="B34" s="32" t="s">
        <v>110</v>
      </c>
      <c r="C34" s="32" t="s">
        <v>106</v>
      </c>
      <c r="D34" s="33" t="n">
        <v>0</v>
      </c>
      <c r="E34" s="33" t="n">
        <v>0</v>
      </c>
      <c r="F34" s="33" t="n">
        <v>0</v>
      </c>
      <c r="G34" s="33" t="n">
        <v>1</v>
      </c>
      <c r="H34" s="33" t="n">
        <v>0</v>
      </c>
      <c r="I34" s="33" t="n">
        <v>0</v>
      </c>
      <c r="J34" s="40" t="n">
        <f aca="false">SUM(D34:I34)</f>
        <v>1</v>
      </c>
    </row>
    <row r="35" customFormat="false" ht="30" hidden="false" customHeight="true" outlineLevel="0" collapsed="false">
      <c r="A35" s="39" t="s">
        <v>40</v>
      </c>
      <c r="B35" s="32" t="s">
        <v>111</v>
      </c>
      <c r="C35" s="32" t="s">
        <v>112</v>
      </c>
      <c r="D35" s="33" t="n">
        <v>0</v>
      </c>
      <c r="E35" s="33" t="n">
        <v>0</v>
      </c>
      <c r="F35" s="33" t="n">
        <v>0</v>
      </c>
      <c r="G35" s="33" t="n">
        <v>1.5</v>
      </c>
      <c r="H35" s="33" t="n">
        <v>0</v>
      </c>
      <c r="I35" s="33" t="n">
        <v>1.5</v>
      </c>
      <c r="J35" s="40" t="n">
        <f aca="false">SUM(D35:I35)</f>
        <v>3</v>
      </c>
    </row>
    <row r="36" customFormat="false" ht="30" hidden="false" customHeight="true" outlineLevel="0" collapsed="false">
      <c r="A36" s="41" t="s">
        <v>41</v>
      </c>
      <c r="B36" s="32" t="s">
        <v>113</v>
      </c>
      <c r="C36" s="32" t="s">
        <v>70</v>
      </c>
      <c r="D36" s="33" t="n">
        <v>0</v>
      </c>
      <c r="E36" s="33" t="n">
        <v>0</v>
      </c>
      <c r="F36" s="33" t="n">
        <v>0</v>
      </c>
      <c r="G36" s="33" t="n">
        <v>12.5</v>
      </c>
      <c r="H36" s="33" t="n">
        <v>0</v>
      </c>
      <c r="I36" s="33" t="n">
        <v>0</v>
      </c>
      <c r="J36" s="42" t="n">
        <f aca="false">SUM(D36:I36)</f>
        <v>12.5</v>
      </c>
    </row>
    <row r="37" customFormat="false" ht="30" hidden="false" customHeight="true" outlineLevel="0" collapsed="false">
      <c r="A37" s="41" t="s">
        <v>41</v>
      </c>
      <c r="B37" s="32" t="s">
        <v>114</v>
      </c>
      <c r="C37" s="32" t="s">
        <v>53</v>
      </c>
      <c r="D37" s="33" t="n">
        <v>0</v>
      </c>
      <c r="E37" s="33" t="n">
        <v>0</v>
      </c>
      <c r="F37" s="33" t="n">
        <v>0</v>
      </c>
      <c r="G37" s="33" t="n">
        <v>0</v>
      </c>
      <c r="H37" s="33" t="n">
        <v>0</v>
      </c>
      <c r="I37" s="33" t="n">
        <v>3</v>
      </c>
      <c r="J37" s="42" t="n">
        <f aca="false">SUM(D37:I37)</f>
        <v>3</v>
      </c>
    </row>
    <row r="38" customFormat="false" ht="30" hidden="false" customHeight="true" outlineLevel="0" collapsed="false">
      <c r="A38" s="43" t="s">
        <v>42</v>
      </c>
      <c r="B38" s="32" t="s">
        <v>115</v>
      </c>
      <c r="C38" s="32" t="s">
        <v>116</v>
      </c>
      <c r="D38" s="33" t="n">
        <v>0</v>
      </c>
      <c r="E38" s="33" t="n">
        <v>0</v>
      </c>
      <c r="F38" s="33" t="n">
        <v>0</v>
      </c>
      <c r="G38" s="33" t="n">
        <v>0</v>
      </c>
      <c r="H38" s="33" t="n">
        <v>2</v>
      </c>
      <c r="I38" s="33" t="n">
        <v>2</v>
      </c>
      <c r="J38" s="44" t="n">
        <f aca="false">SUM(D38:I38)</f>
        <v>4</v>
      </c>
    </row>
    <row r="39" customFormat="false" ht="30" hidden="false" customHeight="true" outlineLevel="0" collapsed="false">
      <c r="A39" s="43" t="s">
        <v>42</v>
      </c>
      <c r="B39" s="32" t="s">
        <v>117</v>
      </c>
      <c r="C39" s="32" t="s">
        <v>53</v>
      </c>
      <c r="D39" s="33" t="n">
        <v>0</v>
      </c>
      <c r="E39" s="33" t="n">
        <v>0</v>
      </c>
      <c r="F39" s="33" t="n">
        <v>0</v>
      </c>
      <c r="G39" s="33" t="n">
        <v>0</v>
      </c>
      <c r="H39" s="33" t="n">
        <v>0</v>
      </c>
      <c r="I39" s="33" t="n">
        <v>2</v>
      </c>
      <c r="J39" s="44" t="n">
        <f aca="false">SUM(D39:I39)</f>
        <v>2</v>
      </c>
    </row>
    <row r="40" customFormat="false" ht="15" hidden="false" customHeight="false" outlineLevel="0" collapsed="false">
      <c r="A40" s="45"/>
      <c r="B40" s="46" t="s">
        <v>118</v>
      </c>
      <c r="C40" s="45"/>
      <c r="D40" s="47" t="n">
        <f aca="false">SUM(D4:D39)</f>
        <v>20</v>
      </c>
      <c r="E40" s="47" t="n">
        <f aca="false">SUM(E4:E39)</f>
        <v>15.5</v>
      </c>
      <c r="F40" s="47" t="n">
        <f aca="false">SUM(F4:F39)</f>
        <v>24</v>
      </c>
      <c r="G40" s="47" t="n">
        <f aca="false">SUM(G4:G39)</f>
        <v>27.5</v>
      </c>
      <c r="H40" s="47" t="n">
        <f aca="false">SUM(H4:H39)</f>
        <v>26</v>
      </c>
      <c r="I40" s="47" t="n">
        <f aca="false">SUM(I4:I39)</f>
        <v>19.5</v>
      </c>
      <c r="J40" s="47" t="n">
        <f aca="false">SUM(J4:J39)</f>
        <v>132.5</v>
      </c>
    </row>
    <row r="42" customFormat="false" ht="15" hidden="false" customHeight="false" outlineLevel="0" collapsed="false">
      <c r="B42" s="48" t="s">
        <v>119</v>
      </c>
    </row>
    <row r="43" customFormat="false" ht="24" hidden="false" customHeight="true" outlineLevel="0" collapsed="false">
      <c r="B43" s="49" t="s">
        <v>120</v>
      </c>
      <c r="C43" s="50" t="s">
        <v>121</v>
      </c>
      <c r="D43" s="50"/>
      <c r="E43" s="50"/>
      <c r="F43" s="50"/>
      <c r="G43" s="50"/>
      <c r="H43" s="50"/>
      <c r="I43" s="50"/>
      <c r="J43" s="50"/>
    </row>
    <row r="44" customFormat="false" ht="24" hidden="false" customHeight="true" outlineLevel="0" collapsed="false">
      <c r="B44" s="49" t="s">
        <v>122</v>
      </c>
      <c r="C44" s="50" t="s">
        <v>123</v>
      </c>
      <c r="D44" s="50"/>
      <c r="E44" s="50"/>
      <c r="F44" s="50"/>
      <c r="G44" s="50"/>
      <c r="H44" s="50"/>
      <c r="I44" s="50"/>
      <c r="J44" s="50"/>
    </row>
    <row r="45" customFormat="false" ht="24" hidden="false" customHeight="true" outlineLevel="0" collapsed="false">
      <c r="B45" s="49" t="s">
        <v>124</v>
      </c>
      <c r="C45" s="50" t="s">
        <v>125</v>
      </c>
      <c r="D45" s="50"/>
      <c r="E45" s="50"/>
      <c r="F45" s="50"/>
      <c r="G45" s="50"/>
      <c r="H45" s="50"/>
      <c r="I45" s="50"/>
      <c r="J45" s="50"/>
    </row>
    <row r="46" customFormat="false" ht="24" hidden="false" customHeight="true" outlineLevel="0" collapsed="false">
      <c r="B46" s="49" t="s">
        <v>126</v>
      </c>
      <c r="C46" s="50" t="s">
        <v>127</v>
      </c>
      <c r="D46" s="50"/>
      <c r="E46" s="50"/>
      <c r="F46" s="50"/>
      <c r="G46" s="50"/>
      <c r="H46" s="50"/>
      <c r="I46" s="50"/>
      <c r="J46" s="50"/>
    </row>
  </sheetData>
  <mergeCells count="5">
    <mergeCell ref="A1:J1"/>
    <mergeCell ref="C43:J43"/>
    <mergeCell ref="C44:J44"/>
    <mergeCell ref="C45:J45"/>
    <mergeCell ref="C46:J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44"/>
  </cols>
  <sheetData>
    <row r="1" customFormat="false" ht="24" hidden="false" customHeight="true" outlineLevel="0" collapsed="false">
      <c r="A1" s="1" t="s">
        <v>128</v>
      </c>
      <c r="B1" s="1"/>
      <c r="C1" s="1"/>
      <c r="D1" s="1"/>
    </row>
    <row r="3" customFormat="false" ht="19.5" hidden="false" customHeight="true" outlineLevel="0" collapsed="false">
      <c r="A3" s="3" t="s">
        <v>129</v>
      </c>
      <c r="B3" s="3"/>
      <c r="C3" s="3"/>
      <c r="D3" s="3"/>
    </row>
    <row r="4" customFormat="false" ht="15" hidden="false" customHeight="false" outlineLevel="0" collapsed="false">
      <c r="A4" s="13" t="s">
        <v>130</v>
      </c>
      <c r="B4" s="13" t="s">
        <v>131</v>
      </c>
      <c r="C4" s="13" t="s">
        <v>132</v>
      </c>
      <c r="D4" s="13" t="s">
        <v>133</v>
      </c>
    </row>
    <row r="5" customFormat="false" ht="15" hidden="false" customHeight="false" outlineLevel="0" collapsed="false">
      <c r="A5" s="14" t="s">
        <v>134</v>
      </c>
      <c r="B5" s="21" t="n">
        <v>25</v>
      </c>
      <c r="C5" s="21" t="n">
        <v>25</v>
      </c>
      <c r="D5" s="51" t="s">
        <v>135</v>
      </c>
    </row>
    <row r="6" customFormat="false" ht="15" hidden="false" customHeight="false" outlineLevel="0" collapsed="false">
      <c r="A6" s="14" t="s">
        <v>136</v>
      </c>
      <c r="B6" s="21" t="n">
        <v>6</v>
      </c>
      <c r="C6" s="21" t="n">
        <v>15</v>
      </c>
      <c r="D6" s="51" t="s">
        <v>137</v>
      </c>
    </row>
    <row r="7" customFormat="false" ht="15" hidden="false" customHeight="false" outlineLevel="0" collapsed="false">
      <c r="A7" s="14" t="s">
        <v>138</v>
      </c>
      <c r="B7" s="21" t="n">
        <v>0</v>
      </c>
      <c r="C7" s="21" t="n">
        <v>11</v>
      </c>
      <c r="D7" s="51" t="s">
        <v>139</v>
      </c>
    </row>
    <row r="8" customFormat="false" ht="15" hidden="false" customHeight="false" outlineLevel="0" collapsed="false">
      <c r="A8" s="14" t="s">
        <v>140</v>
      </c>
      <c r="B8" s="21" t="n">
        <v>0</v>
      </c>
      <c r="C8" s="21" t="n">
        <v>0</v>
      </c>
      <c r="D8" s="51" t="s">
        <v>141</v>
      </c>
    </row>
    <row r="9" customFormat="false" ht="15" hidden="false" customHeight="false" outlineLevel="0" collapsed="false">
      <c r="A9" s="14" t="s">
        <v>142</v>
      </c>
      <c r="B9" s="21" t="n">
        <v>0</v>
      </c>
      <c r="C9" s="21" t="n">
        <v>10</v>
      </c>
      <c r="D9" s="51" t="s">
        <v>143</v>
      </c>
    </row>
    <row r="10" customFormat="false" ht="15" hidden="false" customHeight="false" outlineLevel="0" collapsed="false">
      <c r="A10" s="17" t="s">
        <v>144</v>
      </c>
      <c r="B10" s="52" t="n">
        <f aca="false">SUM(B5:B9)</f>
        <v>31</v>
      </c>
      <c r="C10" s="52" t="n">
        <f aca="false">SUM(C5:C9)</f>
        <v>61</v>
      </c>
      <c r="D10" s="53"/>
    </row>
    <row r="11" customFormat="false" ht="15" hidden="false" customHeight="false" outlineLevel="0" collapsed="false">
      <c r="A11" s="4" t="s">
        <v>145</v>
      </c>
      <c r="B11" s="23" t="n">
        <f aca="false">B10*12</f>
        <v>372</v>
      </c>
      <c r="C11" s="23" t="n">
        <f aca="false">C10*12</f>
        <v>732</v>
      </c>
    </row>
    <row r="13" customFormat="false" ht="19.5" hidden="false" customHeight="true" outlineLevel="0" collapsed="false">
      <c r="A13" s="3" t="s">
        <v>146</v>
      </c>
      <c r="B13" s="3"/>
      <c r="C13" s="3"/>
      <c r="D13" s="3"/>
    </row>
    <row r="14" customFormat="false" ht="15" hidden="false" customHeight="false" outlineLevel="0" collapsed="false">
      <c r="A14" s="13" t="s">
        <v>130</v>
      </c>
      <c r="B14" s="13" t="s">
        <v>147</v>
      </c>
      <c r="D14" s="13" t="s">
        <v>133</v>
      </c>
    </row>
    <row r="15" customFormat="false" ht="15" hidden="false" customHeight="false" outlineLevel="0" collapsed="false">
      <c r="A15" s="14" t="s">
        <v>148</v>
      </c>
      <c r="B15" s="21" t="n">
        <v>99</v>
      </c>
      <c r="D15" s="54" t="s">
        <v>149</v>
      </c>
    </row>
    <row r="16" customFormat="false" ht="15" hidden="false" customHeight="false" outlineLevel="0" collapsed="false">
      <c r="A16" s="14" t="s">
        <v>150</v>
      </c>
      <c r="B16" s="21" t="n">
        <v>25</v>
      </c>
      <c r="D16" s="54" t="s">
        <v>151</v>
      </c>
    </row>
    <row r="17" customFormat="false" ht="15" hidden="false" customHeight="false" outlineLevel="0" collapsed="false">
      <c r="A17" s="14" t="s">
        <v>152</v>
      </c>
      <c r="B17" s="21" t="n">
        <v>1500</v>
      </c>
      <c r="D17" s="54" t="s">
        <v>153</v>
      </c>
    </row>
    <row r="20" customFormat="false" ht="15" hidden="false" customHeight="false" outlineLevel="0" collapsed="false">
      <c r="A20" s="55" t="s">
        <v>154</v>
      </c>
      <c r="B20" s="55"/>
      <c r="C20" s="55"/>
      <c r="D20" s="55"/>
    </row>
  </sheetData>
  <mergeCells count="4">
    <mergeCell ref="A1:D1"/>
    <mergeCell ref="A3:D3"/>
    <mergeCell ref="A13:D13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21" min="6" style="0" width="4"/>
  </cols>
  <sheetData>
    <row r="1" customFormat="false" ht="24" hidden="false" customHeight="true" outlineLevel="0" collapsed="false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18" hidden="false" customHeight="true" outlineLevel="0" collapsed="false">
      <c r="A3" s="56" t="s">
        <v>156</v>
      </c>
      <c r="B3" s="56" t="s">
        <v>157</v>
      </c>
      <c r="C3" s="56" t="s">
        <v>158</v>
      </c>
      <c r="D3" s="56" t="s">
        <v>159</v>
      </c>
      <c r="E3" s="56" t="s">
        <v>160</v>
      </c>
      <c r="F3" s="57" t="n">
        <v>1</v>
      </c>
      <c r="G3" s="57" t="n">
        <v>2</v>
      </c>
      <c r="H3" s="57" t="n">
        <v>3</v>
      </c>
      <c r="I3" s="57" t="n">
        <v>4</v>
      </c>
      <c r="J3" s="57" t="n">
        <v>5</v>
      </c>
      <c r="K3" s="57" t="n">
        <v>6</v>
      </c>
      <c r="L3" s="57" t="n">
        <v>7</v>
      </c>
      <c r="M3" s="57" t="n">
        <v>8</v>
      </c>
      <c r="N3" s="57" t="n">
        <v>9</v>
      </c>
      <c r="O3" s="57" t="n">
        <v>10</v>
      </c>
      <c r="P3" s="57" t="n">
        <v>11</v>
      </c>
      <c r="Q3" s="57" t="n">
        <v>12</v>
      </c>
      <c r="R3" s="57" t="n">
        <v>13</v>
      </c>
      <c r="S3" s="57" t="n">
        <v>14</v>
      </c>
      <c r="T3" s="57" t="n">
        <v>15</v>
      </c>
      <c r="U3" s="57" t="n">
        <v>16</v>
      </c>
    </row>
    <row r="4" customFormat="false" ht="18" hidden="false" customHeight="true" outlineLevel="0" collapsed="false">
      <c r="A4" s="58"/>
      <c r="B4" s="59" t="s">
        <v>161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</row>
    <row r="5" customFormat="false" ht="15.75" hidden="false" customHeight="true" outlineLevel="0" collapsed="false">
      <c r="A5" s="60" t="n">
        <v>1</v>
      </c>
      <c r="B5" s="61" t="s">
        <v>162</v>
      </c>
      <c r="C5" s="51" t="s">
        <v>71</v>
      </c>
      <c r="D5" s="62" t="n">
        <v>1</v>
      </c>
      <c r="E5" s="62" t="n">
        <v>3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</row>
    <row r="6" customFormat="false" ht="15.75" hidden="false" customHeight="true" outlineLevel="0" collapsed="false">
      <c r="A6" s="60" t="n">
        <v>2</v>
      </c>
      <c r="B6" s="61" t="s">
        <v>163</v>
      </c>
      <c r="C6" s="51" t="s">
        <v>50</v>
      </c>
      <c r="D6" s="62" t="n">
        <v>1</v>
      </c>
      <c r="E6" s="62" t="n">
        <v>4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</row>
    <row r="7" customFormat="false" ht="15.75" hidden="false" customHeight="true" outlineLevel="0" collapsed="false">
      <c r="A7" s="60" t="n">
        <v>3</v>
      </c>
      <c r="B7" s="61" t="s">
        <v>164</v>
      </c>
      <c r="C7" s="51" t="s">
        <v>71</v>
      </c>
      <c r="D7" s="62" t="n">
        <v>3</v>
      </c>
      <c r="E7" s="62" t="n">
        <v>4</v>
      </c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</row>
    <row r="8" customFormat="false" ht="15.75" hidden="false" customHeight="true" outlineLevel="0" collapsed="false">
      <c r="A8" s="60" t="n">
        <v>4</v>
      </c>
      <c r="B8" s="61" t="s">
        <v>165</v>
      </c>
      <c r="C8" s="51" t="s">
        <v>50</v>
      </c>
      <c r="D8" s="62" t="n">
        <v>4</v>
      </c>
      <c r="E8" s="62" t="n">
        <v>3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</row>
    <row r="9" customFormat="false" ht="15.75" hidden="false" customHeight="true" outlineLevel="0" collapsed="false">
      <c r="A9" s="60" t="n">
        <v>5</v>
      </c>
      <c r="B9" s="61" t="s">
        <v>166</v>
      </c>
      <c r="C9" s="51" t="s">
        <v>88</v>
      </c>
      <c r="D9" s="62" t="n">
        <v>5</v>
      </c>
      <c r="E9" s="62" t="n">
        <v>2</v>
      </c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</row>
    <row r="10" customFormat="false" ht="18" hidden="false" customHeight="true" outlineLevel="0" collapsed="false">
      <c r="A10" s="64"/>
      <c r="B10" s="65" t="s">
        <v>38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</row>
    <row r="11" customFormat="false" ht="15.75" hidden="false" customHeight="true" outlineLevel="0" collapsed="false">
      <c r="A11" s="60" t="n">
        <v>6</v>
      </c>
      <c r="B11" s="61" t="s">
        <v>167</v>
      </c>
      <c r="C11" s="51" t="s">
        <v>48</v>
      </c>
      <c r="D11" s="62" t="n">
        <v>4</v>
      </c>
      <c r="E11" s="62" t="n">
        <v>4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</row>
    <row r="12" customFormat="false" ht="15.75" hidden="false" customHeight="true" outlineLevel="0" collapsed="false">
      <c r="A12" s="60" t="n">
        <v>7</v>
      </c>
      <c r="B12" s="61" t="s">
        <v>168</v>
      </c>
      <c r="C12" s="51" t="s">
        <v>101</v>
      </c>
      <c r="D12" s="62" t="n">
        <v>7</v>
      </c>
      <c r="E12" s="62" t="n">
        <v>3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</row>
    <row r="13" customFormat="false" ht="18" hidden="false" customHeight="true" outlineLevel="0" collapsed="false">
      <c r="A13" s="66"/>
      <c r="B13" s="67" t="s">
        <v>39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</row>
    <row r="14" customFormat="false" ht="15.75" hidden="false" customHeight="true" outlineLevel="0" collapsed="false">
      <c r="A14" s="60" t="n">
        <v>8</v>
      </c>
      <c r="B14" s="61" t="s">
        <v>169</v>
      </c>
      <c r="C14" s="51" t="s">
        <v>49</v>
      </c>
      <c r="D14" s="62" t="n">
        <v>5</v>
      </c>
      <c r="E14" s="62" t="n">
        <v>4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</row>
    <row r="15" customFormat="false" ht="15.75" hidden="false" customHeight="true" outlineLevel="0" collapsed="false">
      <c r="A15" s="60" t="n">
        <v>9</v>
      </c>
      <c r="B15" s="61" t="s">
        <v>170</v>
      </c>
      <c r="C15" s="51" t="s">
        <v>103</v>
      </c>
      <c r="D15" s="62" t="n">
        <v>9</v>
      </c>
      <c r="E15" s="62" t="n">
        <v>2</v>
      </c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</row>
    <row r="16" customFormat="false" ht="18" hidden="false" customHeight="true" outlineLevel="0" collapsed="false">
      <c r="A16" s="68"/>
      <c r="B16" s="69" t="s">
        <v>40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</row>
    <row r="17" customFormat="false" ht="15.75" hidden="false" customHeight="true" outlineLevel="0" collapsed="false">
      <c r="A17" s="60" t="n">
        <v>10</v>
      </c>
      <c r="B17" s="61" t="s">
        <v>171</v>
      </c>
      <c r="C17" s="51" t="s">
        <v>106</v>
      </c>
      <c r="D17" s="62" t="n">
        <v>5</v>
      </c>
      <c r="E17" s="62" t="n">
        <v>3</v>
      </c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</row>
    <row r="18" customFormat="false" ht="15.75" hidden="false" customHeight="true" outlineLevel="0" collapsed="false">
      <c r="A18" s="60" t="n">
        <v>11</v>
      </c>
      <c r="B18" s="61" t="s">
        <v>172</v>
      </c>
      <c r="C18" s="51" t="s">
        <v>112</v>
      </c>
      <c r="D18" s="62" t="n">
        <v>8</v>
      </c>
      <c r="E18" s="62" t="n">
        <v>1</v>
      </c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</row>
    <row r="19" customFormat="false" ht="18" hidden="false" customHeight="true" outlineLevel="0" collapsed="false">
      <c r="A19" s="70"/>
      <c r="B19" s="71" t="s">
        <v>41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</row>
    <row r="20" customFormat="false" ht="15.75" hidden="false" customHeight="true" outlineLevel="0" collapsed="false">
      <c r="A20" s="60" t="n">
        <v>12</v>
      </c>
      <c r="B20" s="61" t="s">
        <v>173</v>
      </c>
      <c r="C20" s="51" t="s">
        <v>70</v>
      </c>
      <c r="D20" s="62" t="n">
        <v>6</v>
      </c>
      <c r="E20" s="62" t="n">
        <v>3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</row>
    <row r="21" customFormat="false" ht="15.75" hidden="false" customHeight="true" outlineLevel="0" collapsed="false">
      <c r="A21" s="60" t="n">
        <v>13</v>
      </c>
      <c r="B21" s="61" t="s">
        <v>174</v>
      </c>
      <c r="C21" s="51" t="s">
        <v>53</v>
      </c>
      <c r="D21" s="62" t="n">
        <v>9</v>
      </c>
      <c r="E21" s="62" t="n">
        <v>1</v>
      </c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</row>
    <row r="22" customFormat="false" ht="18" hidden="false" customHeight="true" outlineLevel="0" collapsed="false">
      <c r="A22" s="72"/>
      <c r="B22" s="73" t="s">
        <v>42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</row>
    <row r="23" customFormat="false" ht="15.75" hidden="false" customHeight="true" outlineLevel="0" collapsed="false">
      <c r="A23" s="60" t="n">
        <v>14</v>
      </c>
      <c r="B23" s="61" t="s">
        <v>175</v>
      </c>
      <c r="C23" s="51" t="s">
        <v>116</v>
      </c>
      <c r="D23" s="62" t="n">
        <v>11</v>
      </c>
      <c r="E23" s="62" t="n">
        <v>2</v>
      </c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</row>
    <row r="24" customFormat="false" ht="15.75" hidden="false" customHeight="true" outlineLevel="0" collapsed="false">
      <c r="A24" s="60" t="n">
        <v>15</v>
      </c>
      <c r="B24" s="61" t="s">
        <v>176</v>
      </c>
      <c r="C24" s="51" t="s">
        <v>53</v>
      </c>
      <c r="D24" s="62" t="n">
        <v>12</v>
      </c>
      <c r="E24" s="62" t="n">
        <v>2</v>
      </c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</row>
    <row r="26" customFormat="false" ht="15" hidden="false" customHeight="false" outlineLevel="0" collapsed="false">
      <c r="B26" s="48" t="s">
        <v>177</v>
      </c>
    </row>
    <row r="27" customFormat="false" ht="15" hidden="false" customHeight="false" outlineLevel="0" collapsed="false">
      <c r="B27" s="74" t="s">
        <v>178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</row>
    <row r="29" customFormat="false" ht="15" hidden="false" customHeight="false" outlineLevel="0" collapsed="false">
      <c r="B29" s="49" t="s">
        <v>179</v>
      </c>
      <c r="C29" s="75" t="s">
        <v>180</v>
      </c>
      <c r="D29" s="76" t="s">
        <v>181</v>
      </c>
      <c r="E29" s="77" t="s">
        <v>182</v>
      </c>
      <c r="F29" s="78" t="s">
        <v>183</v>
      </c>
      <c r="G29" s="79" t="s">
        <v>184</v>
      </c>
      <c r="H29" s="80" t="s">
        <v>185</v>
      </c>
    </row>
  </sheetData>
  <mergeCells count="2">
    <mergeCell ref="A1:U1"/>
    <mergeCell ref="B27:U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2026-07-08T14:13:59Z</dcterms:created>
  <dc:creator>openpyxl</dc:creator>
  <dc:description/>
  <dc:language>en-US</dc:language>
  <cp:lastModifiedBy/>
  <dcterms:modified xsi:type="dcterms:W3CDTF">2026-07-08T14:13:59Z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